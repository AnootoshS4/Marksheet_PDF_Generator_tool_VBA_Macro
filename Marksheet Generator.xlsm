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593e1fb9b63ac93/Documents/VBA/"/>
    </mc:Choice>
  </mc:AlternateContent>
  <xr:revisionPtr revIDLastSave="153" documentId="8_{1AF14415-DB85-480D-85ED-CFEEBDFA377B}" xr6:coauthVersionLast="47" xr6:coauthVersionMax="47" xr10:uidLastSave="{5705A4CC-783B-419A-948E-1E6B525BBFB2}"/>
  <bookViews>
    <workbookView xWindow="-120" yWindow="-120" windowWidth="20730" windowHeight="11160" activeTab="1" xr2:uid="{9959BD21-C4F1-413D-9DBE-C77AA4B7188F}"/>
  </bookViews>
  <sheets>
    <sheet name="PDF Preview" sheetId="53" r:id="rId1"/>
    <sheet name="Import or Fetch Report" sheetId="1" r:id="rId2"/>
  </sheets>
  <definedNames>
    <definedName name="ExternalData_1" localSheetId="0" hidden="1">'PDF Preview'!$C$17:$H$19</definedName>
    <definedName name="ExternalData_3" localSheetId="0">'PDF Preview'!$C$24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53" l="1"/>
  <c r="G14" i="53"/>
  <c r="G11" i="53"/>
  <c r="C11" i="53"/>
  <c r="G7" i="53"/>
  <c r="G6" i="53"/>
  <c r="C32" i="53" s="1"/>
  <c r="C31" i="53" l="1"/>
  <c r="C33" i="5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3A56DE-1FA0-47AA-A41F-B09014A1C2BF}" keepAlive="1" name="Query - Marksheet_Scorecard(1)" description="Connection to the 'Marksheet_Scorecard' query in the workbook." type="5" refreshedVersion="8" background="1" saveData="1">
    <dbPr connection="Provider=Microsoft.Mashup.OleDb.1;Data Source=$Workbook$;Location=Marksheet_Scorecard;Extended Properties=&quot;&quot;" command="SELECT * FROM [Marksheet_Scorecard]"/>
  </connection>
  <connection id="2" xr16:uid="{B2C34705-BCC6-4CED-8130-9CBE76820E75}" name="Query - RAW_DATA" description="Connection to the 'RAW_DATA' query in the workbook." type="5" refreshedVersion="0" background="1">
    <dbPr connection="Provider=Microsoft.Mashup.OleDb.1;Data Source=$Workbook$;Location=RAW_DATA;Extended Properties=&quot;&quot;" command="SELECT * FROM [RAW_DATA]"/>
  </connection>
  <connection id="3" xr16:uid="{78D0C745-6BC6-4909-A8AB-634224AD0EF1}" keepAlive="1" name="Query - Student_ID" description="Connection to the 'Student_ID' query in the workbook." type="5" refreshedVersion="0" background="1">
    <dbPr connection="Provider=Microsoft.Mashup.OleDb.1;Data Source=$Workbook$;Location=Student_ID;Extended Properties=&quot;&quot;" command="SELECT * FROM [Student_ID]"/>
  </connection>
  <connection id="4" xr16:uid="{775F3FEC-7C6B-4E7D-A338-A5B341D8C6FB}" keepAlive="1" name="Query - Table15" type="5" refreshedVersion="0" deleted="1" background="1" saveData="1">
    <dbPr connection="" command=""/>
  </connection>
</connections>
</file>

<file path=xl/sharedStrings.xml><?xml version="1.0" encoding="utf-8"?>
<sst xmlns="http://schemas.openxmlformats.org/spreadsheetml/2006/main" count="52" uniqueCount="45">
  <si>
    <t>Import Data</t>
  </si>
  <si>
    <t>Subject</t>
  </si>
  <si>
    <t xml:space="preserve">Button: </t>
  </si>
  <si>
    <t>IMPORT</t>
  </si>
  <si>
    <t>Fetch Marksheet (PDF)</t>
  </si>
  <si>
    <t>Button:</t>
  </si>
  <si>
    <t>Download PDF</t>
  </si>
  <si>
    <t>ABC International Institute of Advanced Studies</t>
  </si>
  <si>
    <t>Student ID</t>
  </si>
  <si>
    <t>Dropdown: Select Student ID</t>
  </si>
  <si>
    <t>Institute Code</t>
  </si>
  <si>
    <t>Course Code</t>
  </si>
  <si>
    <t>Full Marks</t>
  </si>
  <si>
    <t>Marks Obt.</t>
  </si>
  <si>
    <t>Grade</t>
  </si>
  <si>
    <t>Student Name</t>
  </si>
  <si>
    <t>City</t>
  </si>
  <si>
    <t>Institute</t>
  </si>
  <si>
    <t xml:space="preserve">Program:   </t>
  </si>
  <si>
    <t>Passing Marks</t>
  </si>
  <si>
    <t>ABC International Institute of  Advanced Studies</t>
  </si>
  <si>
    <t>B</t>
  </si>
  <si>
    <t xml:space="preserve">Year:   </t>
  </si>
  <si>
    <t>Above 95</t>
  </si>
  <si>
    <t>A+</t>
  </si>
  <si>
    <t>A</t>
  </si>
  <si>
    <t>90 - 95</t>
  </si>
  <si>
    <t>80 - 90</t>
  </si>
  <si>
    <t>C</t>
  </si>
  <si>
    <t>60 - 80</t>
  </si>
  <si>
    <t>Below 60</t>
  </si>
  <si>
    <t>F (Fail)</t>
  </si>
  <si>
    <t>Marks Obtained :</t>
  </si>
  <si>
    <t>Grade Structure</t>
  </si>
  <si>
    <t>at the discretion of the university</t>
  </si>
  <si>
    <t xml:space="preserve">** The Grade struture is subject to change </t>
  </si>
  <si>
    <t xml:space="preserve">Auth. Signatory : </t>
  </si>
  <si>
    <t>Vice Chancellor, AIIAS</t>
  </si>
  <si>
    <t>Dr. XYZ</t>
  </si>
  <si>
    <t>a</t>
  </si>
  <si>
    <t>b</t>
  </si>
  <si>
    <t>Marksheet Generator</t>
  </si>
  <si>
    <t>Cognitive Psychology</t>
  </si>
  <si>
    <t>Social Psychology</t>
  </si>
  <si>
    <t>PS-2022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</si>
</sst>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8"/>
      <color theme="8" tint="-0.249977111117893"/>
      <name val="Berlin Sans FB Demi"/>
      <family val="2"/>
    </font>
    <font>
      <sz val="11"/>
      <color theme="1"/>
      <name val="Berlin Sans FB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FFCC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-0.249977111117893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3" borderId="0" xfId="0" applyFill="1"/>
    <xf numFmtId="0" fontId="0" fillId="3" borderId="9" xfId="0" applyFill="1" applyBorder="1"/>
    <xf numFmtId="0" fontId="3" fillId="3" borderId="0" xfId="0" applyFont="1" applyFill="1" applyAlignment="1">
      <alignment horizontal="centerContinuous"/>
    </xf>
    <xf numFmtId="0" fontId="0" fillId="3" borderId="0" xfId="0" applyFill="1" applyAlignment="1">
      <alignment horizontal="centerContinuous"/>
    </xf>
    <xf numFmtId="0" fontId="4" fillId="3" borderId="0" xfId="0" applyFont="1" applyFill="1" applyAlignment="1">
      <alignment horizontal="right" vertical="center"/>
    </xf>
    <xf numFmtId="0" fontId="0" fillId="3" borderId="0" xfId="0" applyFill="1" applyAlignment="1">
      <alignment horizontal="left"/>
    </xf>
    <xf numFmtId="0" fontId="0" fillId="3" borderId="10" xfId="0" applyFill="1" applyBorder="1"/>
    <xf numFmtId="0" fontId="1" fillId="3" borderId="10" xfId="0" applyFont="1" applyFill="1" applyBorder="1"/>
    <xf numFmtId="0" fontId="7" fillId="3" borderId="11" xfId="0" applyFont="1" applyFill="1" applyBorder="1"/>
    <xf numFmtId="0" fontId="5" fillId="3" borderId="11" xfId="0" applyFont="1" applyFill="1" applyBorder="1" applyAlignment="1">
      <alignment horizontal="center"/>
    </xf>
    <xf numFmtId="0" fontId="0" fillId="3" borderId="11" xfId="0" applyFill="1" applyBorder="1"/>
    <xf numFmtId="0" fontId="7" fillId="3" borderId="10" xfId="0" applyFont="1" applyFill="1" applyBorder="1" applyAlignment="1">
      <alignment horizontal="left"/>
    </xf>
    <xf numFmtId="0" fontId="7" fillId="3" borderId="10" xfId="0" applyFont="1" applyFill="1" applyBorder="1"/>
    <xf numFmtId="0" fontId="0" fillId="3" borderId="8" xfId="0" applyFill="1" applyBorder="1"/>
    <xf numFmtId="0" fontId="6" fillId="3" borderId="0" xfId="0" applyFont="1" applyFill="1" applyAlignment="1">
      <alignment horizontal="center"/>
    </xf>
    <xf numFmtId="0" fontId="9" fillId="3" borderId="1" xfId="0" applyFont="1" applyFill="1" applyBorder="1"/>
    <xf numFmtId="0" fontId="0" fillId="3" borderId="2" xfId="0" applyFill="1" applyBorder="1"/>
    <xf numFmtId="0" fontId="6" fillId="3" borderId="0" xfId="0" applyFont="1" applyFill="1"/>
    <xf numFmtId="0" fontId="8" fillId="3" borderId="3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0" fillId="3" borderId="6" xfId="0" applyFill="1" applyBorder="1"/>
    <xf numFmtId="0" fontId="0" fillId="3" borderId="0" xfId="0" applyFill="1" applyAlignment="1">
      <alignment wrapText="1"/>
    </xf>
    <xf numFmtId="0" fontId="8" fillId="3" borderId="0" xfId="0" applyFont="1" applyFill="1" applyAlignment="1">
      <alignment wrapText="1"/>
    </xf>
    <xf numFmtId="0" fontId="8" fillId="3" borderId="0" xfId="0" applyFont="1" applyFill="1"/>
    <xf numFmtId="0" fontId="0" fillId="3" borderId="0" xfId="0" quotePrefix="1" applyFill="1"/>
    <xf numFmtId="0" fontId="1" fillId="3" borderId="0" xfId="0" applyFont="1" applyFill="1"/>
    <xf numFmtId="0" fontId="10" fillId="3" borderId="0" xfId="0" applyFont="1" applyFill="1"/>
    <xf numFmtId="0" fontId="5" fillId="3" borderId="8" xfId="0" applyFont="1" applyFill="1" applyBorder="1"/>
    <xf numFmtId="0" fontId="3" fillId="3" borderId="0" xfId="0" applyFont="1" applyFill="1"/>
    <xf numFmtId="0" fontId="11" fillId="3" borderId="0" xfId="0" applyFont="1" applyFill="1"/>
    <xf numFmtId="0" fontId="2" fillId="3" borderId="0" xfId="0" applyFont="1" applyFill="1"/>
    <xf numFmtId="0" fontId="0" fillId="4" borderId="0" xfId="0" applyFill="1"/>
    <xf numFmtId="0" fontId="0" fillId="5" borderId="12" xfId="0" applyFill="1" applyBorder="1"/>
    <xf numFmtId="0" fontId="1" fillId="5" borderId="13" xfId="0" applyFont="1" applyFill="1" applyBorder="1"/>
    <xf numFmtId="0" fontId="0" fillId="5" borderId="14" xfId="0" applyFill="1" applyBorder="1"/>
    <xf numFmtId="0" fontId="0" fillId="5" borderId="1" xfId="0" applyFill="1" applyBorder="1"/>
    <xf numFmtId="0" fontId="0" fillId="5" borderId="2" xfId="0" applyFill="1" applyBorder="1"/>
    <xf numFmtId="0" fontId="1" fillId="5" borderId="3" xfId="0" applyFont="1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12" fillId="3" borderId="8" xfId="0" applyFont="1" applyFill="1" applyBorder="1"/>
    <xf numFmtId="0" fontId="5" fillId="3" borderId="0" xfId="0" applyFont="1" applyFill="1"/>
    <xf numFmtId="0" fontId="13" fillId="4" borderId="0" xfId="0" applyFont="1" applyFill="1"/>
    <xf numFmtId="0" fontId="0" fillId="2" borderId="7" xfId="0" applyFill="1" applyBorder="1"/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742950</xdr:colOff>
      <xdr:row>29</xdr:row>
      <xdr:rowOff>0</xdr:rowOff>
    </xdr:from>
    <xdr:to>
      <xdr:col>10</xdr:col>
      <xdr:colOff>885825</xdr:colOff>
      <xdr:row>34</xdr:row>
      <xdr:rowOff>114300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924800" y="5772150"/>
          <a:ext cx="1076325" cy="1095375"/>
          <a:chOff x="8086725" y="5753100"/>
          <a:chExt cx="1076325" cy="1085850"/>
        </a:xfrm>
        <a:effectLst>
          <a:glow rad="127000">
            <a:schemeClr val="accent1">
              <a:alpha val="48000"/>
            </a:schemeClr>
          </a:glow>
        </a:effectLst>
      </xdr:grpSpPr>
      <xdr:sp macro="" textlink="">
        <xdr:nvSpPr>
          <xdr:cNvPr id="2" name="Oval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8086725" y="5753100"/>
            <a:ext cx="1076325" cy="1085850"/>
          </a:xfrm>
          <a:prstGeom prst="ellipse">
            <a:avLst/>
          </a:prstGeom>
          <a:noFill/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8239126" y="5905500"/>
            <a:ext cx="781050" cy="787962"/>
          </a:xfrm>
          <a:prstGeom prst="ellipse">
            <a:avLst/>
          </a:prstGeom>
          <a:noFill/>
          <a:ln w="19050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20171931">
            <a:off x="8176459" y="6155891"/>
            <a:ext cx="927595" cy="316289"/>
          </a:xfrm>
          <a:prstGeom prst="rect">
            <a:avLst/>
          </a:prstGeom>
          <a:solidFill>
            <a:schemeClr val="bg1"/>
          </a:solidFill>
          <a:ln w="28575"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 rot="20165360">
            <a:off x="8212294" y="6196617"/>
            <a:ext cx="854102" cy="232456"/>
          </a:xfrm>
          <a:prstGeom prst="rect">
            <a:avLst/>
          </a:prstGeom>
          <a:solidFill>
            <a:schemeClr val="accent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900" b="1">
                <a:solidFill>
                  <a:schemeClr val="bg1"/>
                </a:solidFill>
              </a:rPr>
              <a:t>A </a:t>
            </a:r>
            <a:r>
              <a:rPr lang="en-US" sz="900" b="1" baseline="0">
                <a:solidFill>
                  <a:schemeClr val="bg1"/>
                </a:solidFill>
              </a:rPr>
              <a:t>. I . I . A . S.</a:t>
            </a:r>
            <a:endParaRPr lang="en-US" sz="900" b="1">
              <a:solidFill>
                <a:schemeClr val="bg1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3</xdr:row>
          <xdr:rowOff>161925</xdr:rowOff>
        </xdr:from>
        <xdr:to>
          <xdr:col>16</xdr:col>
          <xdr:colOff>95250</xdr:colOff>
          <xdr:row>5</xdr:row>
          <xdr:rowOff>19050</xdr:rowOff>
        </xdr:to>
        <xdr:sp macro="" textlink="">
          <xdr:nvSpPr>
            <xdr:cNvPr id="4100" name="BtPrint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161925</xdr:colOff>
          <xdr:row>6</xdr:row>
          <xdr:rowOff>28575</xdr:rowOff>
        </xdr:from>
        <xdr:to>
          <xdr:col>16</xdr:col>
          <xdr:colOff>95250</xdr:colOff>
          <xdr:row>7</xdr:row>
          <xdr:rowOff>171450</xdr:rowOff>
        </xdr:to>
        <xdr:sp macro="" textlink="">
          <xdr:nvSpPr>
            <xdr:cNvPr id="4101" name="BtPrintCancel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10</xdr:row>
          <xdr:rowOff>28575</xdr:rowOff>
        </xdr:from>
        <xdr:to>
          <xdr:col>4</xdr:col>
          <xdr:colOff>581025</xdr:colOff>
          <xdr:row>12</xdr:row>
          <xdr:rowOff>180975</xdr:rowOff>
        </xdr:to>
        <xdr:sp macro="" textlink="">
          <xdr:nvSpPr>
            <xdr:cNvPr id="2049" name="Bt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581025</xdr:colOff>
          <xdr:row>10</xdr:row>
          <xdr:rowOff>19050</xdr:rowOff>
        </xdr:from>
        <xdr:to>
          <xdr:col>11</xdr:col>
          <xdr:colOff>1781175</xdr:colOff>
          <xdr:row>11</xdr:row>
          <xdr:rowOff>76200</xdr:rowOff>
        </xdr:to>
        <xdr:sp macro="" textlink="">
          <xdr:nvSpPr>
            <xdr:cNvPr id="2051" name="CbID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180975</xdr:rowOff>
        </xdr:from>
        <xdr:to>
          <xdr:col>11</xdr:col>
          <xdr:colOff>1323975</xdr:colOff>
          <xdr:row>18</xdr:row>
          <xdr:rowOff>76200</xdr:rowOff>
        </xdr:to>
        <xdr:sp macro="" textlink="">
          <xdr:nvSpPr>
            <xdr:cNvPr id="2052" name="BtPreview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13</xdr:row>
          <xdr:rowOff>47625</xdr:rowOff>
        </xdr:from>
        <xdr:to>
          <xdr:col>11</xdr:col>
          <xdr:colOff>1771650</xdr:colOff>
          <xdr:row>15</xdr:row>
          <xdr:rowOff>161925</xdr:rowOff>
        </xdr:to>
        <xdr:sp macro="" textlink="">
          <xdr:nvSpPr>
            <xdr:cNvPr id="2054" name="BtDwnldPDF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083097B-94C4-4B1A-BA6F-42FFD253C443}" autoFormatId="16" applyNumberFormats="0" applyBorderFormats="0" applyFontFormats="0" applyPatternFormats="0" applyAlignmentFormats="0" applyWidthHeightFormats="0">
  <queryTableRefresh nextId="7">
    <queryTableFields count="6">
      <queryTableField id="1" name="Course Code" tableColumnId="1"/>
      <queryTableField id="2" name="Subject" tableColumnId="2"/>
      <queryTableField id="3" name="Full Marks" tableColumnId="3"/>
      <queryTableField id="4" name="Passing Marks" tableColumnId="4"/>
      <queryTableField id="5" name="Marks Obt." tableColumnId="5"/>
      <queryTableField id="6" name="Grade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firstBackgroundRefresh="1" connectionId="4" xr16:uid="{CD8BF8D8-75F6-4F6D-8D15-BA6EB00F6776}" autoFormatId="16" applyNumberFormats="0" applyBorderFormats="0" applyFontFormats="0" applyPatternFormats="0" applyAlignmentFormats="0" applyWidthHeightFormats="0">
  <queryTableRefresh>
    <queryTableFields/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088883-807A-4237-9BD0-3F482F91E29D}" name="Student_ID" displayName="Student_ID" ref="C13:C14" totalsRowShown="0" headerRowDxfId="11" dataDxfId="9" headerRowBorderDxfId="10">
  <tableColumns count="1">
    <tableColumn id="1" xr3:uid="{248BE6F1-BB4D-4779-8D90-2C354DE5FBD0}" name="Student ID" dataDxfId="8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27E5BEF-CAA1-4857-BFFA-72C3F75FCE43}" name="Marksheet_Scorecard" displayName="Marksheet_Scorecard" ref="C17:H19" tableType="queryTable" totalsRowShown="0" headerRowDxfId="7" dataDxfId="6">
  <tableColumns count="6">
    <tableColumn id="1" xr3:uid="{D445CF55-96C6-4853-9B39-AC67CDBA5605}" uniqueName="1" name="Course Code" queryTableFieldId="1" dataDxfId="5"/>
    <tableColumn id="2" xr3:uid="{9D53CB30-DC78-4765-864D-206B19FFB595}" uniqueName="2" name="Subject" queryTableFieldId="2" dataDxfId="4"/>
    <tableColumn id="3" xr3:uid="{25C4CAB2-C53E-42FD-B455-2774CBAA10F8}" uniqueName="3" name="Full Marks" queryTableFieldId="3" dataDxfId="3"/>
    <tableColumn id="4" xr3:uid="{E4709BD0-7FE0-4E9E-A7F0-030B1258381D}" uniqueName="4" name="Passing Marks" queryTableFieldId="4" dataDxfId="2"/>
    <tableColumn id="5" xr3:uid="{F72572D9-5C34-4ABB-8BE6-A5826E06A464}" uniqueName="5" name="Marks Obt." queryTableFieldId="5" dataDxfId="1"/>
    <tableColumn id="6" xr3:uid="{DDDFD95B-2913-4098-8B19-BFBC53B5A6EB}" uniqueName="6" name="Grade" queryTableFieldId="6" dataDxfId="0"/>
  </tableColumns>
  <tableStyleInfo name="TableStyleLight19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1.x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98BE8-7A1C-4622-B686-45733763F52E}">
  <sheetPr codeName="ShPDF">
    <pageSetUpPr fitToPage="1"/>
  </sheetPr>
  <dimension ref="B1:XFD61"/>
  <sheetViews>
    <sheetView showGridLines="0" zoomScaleNormal="100" workbookViewId="0"/>
  </sheetViews>
  <sheetFormatPr defaultRowHeight="15" x14ac:dyDescent="0.25"/>
  <cols>
    <col min="3" max="3" width="13.140625" bestFit="1" customWidth="1"/>
    <col min="4" max="4" width="20.85546875" bestFit="1" customWidth="1"/>
    <col min="5" max="5" width="11" bestFit="1" customWidth="1"/>
    <col min="6" max="6" width="14.85546875" bestFit="1" customWidth="1"/>
    <col min="7" max="7" width="11.85546875" bestFit="1" customWidth="1"/>
    <col min="8" max="8" width="6.85546875" bestFit="1" customWidth="1"/>
    <col min="9" max="9" width="10.85546875" customWidth="1"/>
    <col min="10" max="10" width="14" bestFit="1" customWidth="1"/>
    <col min="11" max="11" width="14.28515625" bestFit="1" customWidth="1"/>
  </cols>
  <sheetData>
    <row r="1" spans="2:13 16375:16384" x14ac:dyDescent="0.25">
      <c r="XEU1">
        <v>1</v>
      </c>
      <c r="XFD1">
        <v>1</v>
      </c>
    </row>
    <row r="2" spans="2:13 16375:16384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 16375:16384" x14ac:dyDescent="0.25">
      <c r="B3" s="1"/>
      <c r="C3" s="2"/>
      <c r="D3" s="2"/>
      <c r="E3" s="2"/>
      <c r="F3" s="2"/>
      <c r="G3" s="2"/>
      <c r="H3" s="2"/>
      <c r="I3" s="2"/>
      <c r="J3" s="2"/>
      <c r="K3" s="2"/>
      <c r="L3" s="2"/>
      <c r="M3" s="1"/>
    </row>
    <row r="4" spans="2:13 16375:16384" ht="22.5" x14ac:dyDescent="0.3">
      <c r="B4" s="1"/>
      <c r="C4" s="3" t="s">
        <v>20</v>
      </c>
      <c r="D4" s="4"/>
      <c r="E4" s="4"/>
      <c r="F4" s="4"/>
      <c r="G4" s="4"/>
      <c r="H4" s="4"/>
      <c r="I4" s="4"/>
      <c r="J4" s="3"/>
      <c r="K4" s="3"/>
      <c r="L4" s="4"/>
      <c r="M4" s="1"/>
    </row>
    <row r="5" spans="2:13 16375:16384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2:13 16375:16384" x14ac:dyDescent="0.25">
      <c r="B6" s="1"/>
      <c r="C6" s="1"/>
      <c r="D6" s="1"/>
      <c r="E6" s="1"/>
      <c r="F6" s="5" t="s">
        <v>18</v>
      </c>
      <c r="G6" s="6" t="e">
        <f>INDEX(#REF!,MATCH('PDF Preview'!$C$14,#REF!,0),4)</f>
        <v>#REF!</v>
      </c>
      <c r="H6" s="1"/>
      <c r="I6" s="1"/>
      <c r="J6" s="1"/>
      <c r="K6" s="1"/>
      <c r="L6" s="1"/>
      <c r="M6" s="1"/>
    </row>
    <row r="7" spans="2:13 16375:16384" x14ac:dyDescent="0.25">
      <c r="B7" s="1"/>
      <c r="C7" s="1"/>
      <c r="D7" s="1"/>
      <c r="E7" s="1"/>
      <c r="F7" s="5" t="s">
        <v>22</v>
      </c>
      <c r="G7" s="6" t="e">
        <f>INDEX(#REF!,MATCH('PDF Preview'!$C$14,#REF!,0),1)</f>
        <v>#REF!</v>
      </c>
      <c r="H7" s="1"/>
      <c r="I7" s="1"/>
      <c r="J7" s="1"/>
      <c r="K7" s="1"/>
      <c r="L7" s="1"/>
      <c r="M7" s="1"/>
    </row>
    <row r="8" spans="2:13 16375:16384" x14ac:dyDescent="0.25">
      <c r="B8" s="1"/>
      <c r="C8" s="7"/>
      <c r="D8" s="7"/>
      <c r="E8" s="7"/>
      <c r="F8" s="7"/>
      <c r="G8" s="7"/>
      <c r="H8" s="7"/>
      <c r="I8" s="7"/>
      <c r="J8" s="7"/>
      <c r="K8" s="7"/>
      <c r="L8" s="7"/>
      <c r="M8" s="1"/>
    </row>
    <row r="9" spans="2:13 16375:16384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2:13 16375:16384" x14ac:dyDescent="0.25">
      <c r="B10" s="1"/>
      <c r="C10" s="8" t="s">
        <v>15</v>
      </c>
      <c r="D10" s="7"/>
      <c r="E10" s="7"/>
      <c r="F10" s="7"/>
      <c r="G10" s="8" t="s">
        <v>16</v>
      </c>
      <c r="H10" s="7"/>
      <c r="I10" s="7"/>
      <c r="J10" s="7"/>
      <c r="K10" s="8" t="s">
        <v>10</v>
      </c>
      <c r="L10" s="1"/>
      <c r="M10" s="1"/>
    </row>
    <row r="11" spans="2:13 16375:16384" ht="18.75" x14ac:dyDescent="0.3">
      <c r="B11" s="1"/>
      <c r="C11" s="9" t="e">
        <f>INDEX(#REF!,MATCH('PDF Preview'!$C$14,#REF!,0),2)</f>
        <v>#REF!</v>
      </c>
      <c r="D11" s="10"/>
      <c r="E11" s="10"/>
      <c r="F11" s="10"/>
      <c r="G11" s="9" t="e">
        <f>INDEX(#REF!,MATCH('PDF Preview'!$C$14,#REF!,0),5)</f>
        <v>#REF!</v>
      </c>
      <c r="H11" s="10"/>
      <c r="I11" s="10"/>
      <c r="J11" s="10"/>
      <c r="K11" s="9" t="e">
        <f>INDEX(#REF!,MATCH('PDF Preview'!$C$14,#REF!,0),7)</f>
        <v>#REF!</v>
      </c>
      <c r="L11" s="11"/>
      <c r="M11" s="1"/>
    </row>
    <row r="12" spans="2:13 16375:16384" x14ac:dyDescent="0.25"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2:13 16375:16384" x14ac:dyDescent="0.25">
      <c r="B13" s="1"/>
      <c r="C13" s="8" t="s">
        <v>8</v>
      </c>
      <c r="D13" s="7"/>
      <c r="E13" s="7"/>
      <c r="F13" s="7"/>
      <c r="G13" s="8" t="s">
        <v>17</v>
      </c>
      <c r="H13" s="7"/>
      <c r="I13" s="1"/>
      <c r="J13" s="1"/>
      <c r="K13" s="1"/>
      <c r="L13" s="1"/>
      <c r="M13" s="1"/>
    </row>
    <row r="14" spans="2:13 16375:16384" ht="18.75" x14ac:dyDescent="0.3">
      <c r="B14" s="1"/>
      <c r="C14" s="12">
        <v>3007</v>
      </c>
      <c r="D14" s="7"/>
      <c r="E14" s="7"/>
      <c r="F14" s="7"/>
      <c r="G14" s="13" t="e">
        <f>INDEX(#REF!,MATCH('PDF Preview'!$C$14,#REF!,0),6)</f>
        <v>#REF!</v>
      </c>
      <c r="H14" s="7"/>
      <c r="I14" s="11"/>
      <c r="J14" s="11"/>
      <c r="K14" s="11"/>
      <c r="L14" s="11"/>
      <c r="M14" s="1"/>
    </row>
    <row r="15" spans="2:13 16375:16384" ht="15.75" thickBot="1" x14ac:dyDescent="0.3">
      <c r="B15" s="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"/>
    </row>
    <row r="16" spans="2:13 16375:16384" ht="15.75" thickBot="1" x14ac:dyDescent="0.3"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2:13" ht="15.75" x14ac:dyDescent="0.25">
      <c r="B17" s="1"/>
      <c r="C17" s="15" t="s">
        <v>11</v>
      </c>
      <c r="D17" s="15" t="s">
        <v>1</v>
      </c>
      <c r="E17" s="15" t="s">
        <v>12</v>
      </c>
      <c r="F17" s="15" t="s">
        <v>19</v>
      </c>
      <c r="G17" s="15" t="s">
        <v>13</v>
      </c>
      <c r="H17" s="15" t="s">
        <v>14</v>
      </c>
      <c r="I17" s="1"/>
      <c r="J17" s="16" t="s">
        <v>33</v>
      </c>
      <c r="K17" s="17"/>
      <c r="L17" s="1"/>
      <c r="M17" s="1"/>
    </row>
    <row r="18" spans="2:13" ht="15.75" x14ac:dyDescent="0.25">
      <c r="B18" s="1"/>
      <c r="C18" s="15" t="s">
        <v>44</v>
      </c>
      <c r="D18" s="18" t="s">
        <v>42</v>
      </c>
      <c r="E18" s="15">
        <v>100</v>
      </c>
      <c r="F18" s="15">
        <v>60</v>
      </c>
      <c r="G18" s="15">
        <v>81</v>
      </c>
      <c r="H18" s="15" t="s">
        <v>21</v>
      </c>
      <c r="I18" s="1"/>
      <c r="J18" s="19" t="s">
        <v>32</v>
      </c>
      <c r="K18" s="20"/>
      <c r="L18" s="1"/>
      <c r="M18" s="1"/>
    </row>
    <row r="19" spans="2:13" ht="15.75" x14ac:dyDescent="0.25">
      <c r="B19" s="1"/>
      <c r="C19" s="15" t="s">
        <v>44</v>
      </c>
      <c r="D19" s="18" t="s">
        <v>43</v>
      </c>
      <c r="E19" s="15">
        <v>100</v>
      </c>
      <c r="F19" s="15">
        <v>60</v>
      </c>
      <c r="G19" s="15">
        <v>89</v>
      </c>
      <c r="H19" s="15" t="s">
        <v>21</v>
      </c>
      <c r="I19" s="1"/>
      <c r="J19" s="19" t="s">
        <v>23</v>
      </c>
      <c r="K19" s="20" t="s">
        <v>24</v>
      </c>
      <c r="L19" s="1"/>
      <c r="M19" s="1"/>
    </row>
    <row r="20" spans="2:13" x14ac:dyDescent="0.25">
      <c r="B20" s="1"/>
      <c r="C20" s="1"/>
      <c r="D20" s="1"/>
      <c r="E20" s="1"/>
      <c r="F20" s="1"/>
      <c r="G20" s="1"/>
      <c r="H20" s="1"/>
      <c r="I20" s="1"/>
      <c r="J20" s="19" t="s">
        <v>26</v>
      </c>
      <c r="K20" s="21" t="s">
        <v>25</v>
      </c>
      <c r="L20" s="1"/>
      <c r="M20" s="1"/>
    </row>
    <row r="21" spans="2:13" x14ac:dyDescent="0.25">
      <c r="B21" s="1"/>
      <c r="C21" s="1"/>
      <c r="D21" s="1"/>
      <c r="E21" s="1"/>
      <c r="F21" s="1"/>
      <c r="G21" s="1"/>
      <c r="H21" s="1"/>
      <c r="I21" s="1"/>
      <c r="J21" s="19" t="s">
        <v>27</v>
      </c>
      <c r="K21" s="21" t="s">
        <v>21</v>
      </c>
      <c r="L21" s="1"/>
      <c r="M21" s="1"/>
    </row>
    <row r="22" spans="2:13" x14ac:dyDescent="0.25">
      <c r="B22" s="1"/>
      <c r="C22" s="1"/>
      <c r="D22" s="1"/>
      <c r="E22" s="1"/>
      <c r="F22" s="1"/>
      <c r="G22" s="1"/>
      <c r="H22" s="1"/>
      <c r="I22" s="1"/>
      <c r="J22" s="19" t="s">
        <v>29</v>
      </c>
      <c r="K22" s="21" t="s">
        <v>28</v>
      </c>
      <c r="L22" s="1"/>
      <c r="M22" s="1"/>
    </row>
    <row r="23" spans="2:13" x14ac:dyDescent="0.25">
      <c r="B23" s="1"/>
      <c r="C23" s="1"/>
      <c r="D23" s="1"/>
      <c r="E23" s="1"/>
      <c r="F23" s="1"/>
      <c r="G23" s="1"/>
      <c r="H23" s="1"/>
      <c r="I23" s="1"/>
      <c r="J23" s="19" t="s">
        <v>30</v>
      </c>
      <c r="K23" s="21" t="s">
        <v>31</v>
      </c>
      <c r="L23" s="1"/>
      <c r="M23" s="1"/>
    </row>
    <row r="24" spans="2:13" ht="15.75" thickBot="1" x14ac:dyDescent="0.3">
      <c r="B24" s="1"/>
      <c r="C24" s="1"/>
      <c r="D24" s="1"/>
      <c r="E24" s="1"/>
      <c r="F24" s="1"/>
      <c r="G24" s="1"/>
      <c r="H24" s="1"/>
      <c r="I24" s="1"/>
      <c r="J24" s="22"/>
      <c r="K24" s="23"/>
      <c r="L24" s="1"/>
      <c r="M24" s="1"/>
    </row>
    <row r="25" spans="2:13" x14ac:dyDescent="0.25">
      <c r="B25" s="1"/>
      <c r="C25" s="1"/>
      <c r="D25" s="1"/>
      <c r="E25" s="1"/>
      <c r="F25" s="1"/>
      <c r="G25" s="1"/>
      <c r="H25" s="24"/>
      <c r="I25" s="1"/>
      <c r="J25" s="25"/>
      <c r="K25" s="1"/>
      <c r="L25" s="1"/>
      <c r="M25" s="1"/>
    </row>
    <row r="26" spans="2:13" x14ac:dyDescent="0.25">
      <c r="B26" s="1"/>
      <c r="C26" s="1"/>
      <c r="D26" s="1"/>
      <c r="E26" s="1"/>
      <c r="F26" s="1"/>
      <c r="G26" s="1"/>
      <c r="H26" s="1"/>
      <c r="I26" s="1"/>
      <c r="J26" s="26" t="s">
        <v>35</v>
      </c>
      <c r="K26" s="1"/>
      <c r="L26" s="1"/>
      <c r="M26" s="1"/>
    </row>
    <row r="27" spans="2:13" x14ac:dyDescent="0.25">
      <c r="B27" s="1"/>
      <c r="C27" s="1"/>
      <c r="D27" s="1"/>
      <c r="E27" s="1"/>
      <c r="F27" s="1"/>
      <c r="G27" s="1"/>
      <c r="H27" s="1"/>
      <c r="I27" s="1"/>
      <c r="J27" s="26" t="s">
        <v>34</v>
      </c>
      <c r="K27" s="1"/>
      <c r="L27" s="1"/>
      <c r="M27" s="1"/>
    </row>
    <row r="28" spans="2:13" x14ac:dyDescent="0.25">
      <c r="B28" s="1"/>
      <c r="C28" s="27"/>
      <c r="D28" s="1"/>
      <c r="E28" s="1"/>
      <c r="F28" s="1"/>
      <c r="G28" s="1"/>
      <c r="H28" s="1"/>
      <c r="I28" s="1"/>
      <c r="J28" s="26"/>
      <c r="K28" s="1"/>
      <c r="L28" s="1"/>
      <c r="M28" s="1"/>
    </row>
    <row r="29" spans="2:13" x14ac:dyDescent="0.25">
      <c r="B29" s="1"/>
      <c r="C29" s="28" t="s">
        <v>36</v>
      </c>
      <c r="D29" s="1"/>
      <c r="E29" s="1"/>
      <c r="F29" s="1"/>
      <c r="G29" s="1"/>
      <c r="H29" s="1"/>
      <c r="I29" s="1"/>
      <c r="J29" s="1"/>
      <c r="K29" s="1"/>
      <c r="L29" s="1"/>
      <c r="M29" s="1"/>
    </row>
    <row r="30" spans="2:13" x14ac:dyDescent="0.25">
      <c r="B30" s="1"/>
      <c r="C30" s="28" t="s">
        <v>36</v>
      </c>
      <c r="D30" s="1"/>
      <c r="E30" s="1"/>
      <c r="F30" s="1"/>
      <c r="G30" s="1"/>
      <c r="H30" s="1"/>
      <c r="I30" s="1"/>
      <c r="J30" s="1"/>
      <c r="K30" s="1"/>
      <c r="L30" s="1"/>
      <c r="M30" s="1"/>
    </row>
    <row r="31" spans="2:13" ht="15.75" x14ac:dyDescent="0.25">
      <c r="B31" s="1"/>
      <c r="C31" s="29" t="e">
        <f>INDEX(#REF!,MATCH('PDF Preview'!$G$6,#REF!,0),11)</f>
        <v>#REF!</v>
      </c>
      <c r="D31" s="1"/>
      <c r="E31" s="1"/>
      <c r="F31" s="1"/>
      <c r="G31" s="28" t="s">
        <v>38</v>
      </c>
      <c r="H31" s="1"/>
      <c r="I31" s="1"/>
      <c r="J31" s="1"/>
      <c r="K31" s="1"/>
      <c r="L31" s="1"/>
      <c r="M31" s="1"/>
    </row>
    <row r="32" spans="2:13" ht="15.75" thickBot="1" x14ac:dyDescent="0.3">
      <c r="B32" s="1"/>
      <c r="C32" s="46" t="e">
        <f>"Program Director, "&amp;$G$6</f>
        <v>#REF!</v>
      </c>
      <c r="D32" s="14"/>
      <c r="E32" s="14"/>
      <c r="F32" s="1"/>
      <c r="G32" s="46" t="s">
        <v>37</v>
      </c>
      <c r="H32" s="14"/>
      <c r="I32" s="1"/>
      <c r="J32" s="1"/>
      <c r="K32" s="1"/>
      <c r="L32" s="1"/>
      <c r="M32" s="1"/>
    </row>
    <row r="33" spans="2:13" ht="15.75" thickBot="1" x14ac:dyDescent="0.3">
      <c r="B33" s="1"/>
      <c r="C33" s="30" t="e">
        <f>"Program Director, "&amp;$G$6</f>
        <v>#REF!</v>
      </c>
      <c r="D33" s="14"/>
      <c r="E33" s="14"/>
      <c r="F33" s="1"/>
      <c r="G33" s="47" t="s">
        <v>37</v>
      </c>
      <c r="H33" s="1"/>
      <c r="I33" s="1"/>
      <c r="J33" s="1"/>
      <c r="K33" s="1"/>
      <c r="L33" s="1"/>
      <c r="M33" s="1"/>
    </row>
    <row r="34" spans="2:13" x14ac:dyDescent="0.25"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</row>
    <row r="35" spans="2:13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2:13" x14ac:dyDescent="0.25">
      <c r="B36" s="32" t="s">
        <v>39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32" t="s">
        <v>40</v>
      </c>
    </row>
    <row r="37" spans="2:13" x14ac:dyDescent="0.25">
      <c r="B37" s="32" t="s">
        <v>39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32" t="s">
        <v>40</v>
      </c>
    </row>
    <row r="38" spans="2:13" x14ac:dyDescent="0.25">
      <c r="C38" s="1"/>
      <c r="D38" s="1"/>
      <c r="E38" s="1"/>
      <c r="F38" s="1"/>
      <c r="G38" s="1"/>
      <c r="H38" s="1"/>
    </row>
    <row r="54" spans="16384:16384" x14ac:dyDescent="0.25">
      <c r="XFD54" s="49">
        <v>3001</v>
      </c>
    </row>
    <row r="55" spans="16384:16384" x14ac:dyDescent="0.25">
      <c r="XFD55" s="49">
        <v>3002</v>
      </c>
    </row>
    <row r="56" spans="16384:16384" x14ac:dyDescent="0.25">
      <c r="XFD56" s="49">
        <v>3003</v>
      </c>
    </row>
    <row r="57" spans="16384:16384" x14ac:dyDescent="0.25">
      <c r="XFD57" s="49">
        <v>3004</v>
      </c>
    </row>
    <row r="58" spans="16384:16384" x14ac:dyDescent="0.25">
      <c r="XFD58" s="49">
        <v>3005</v>
      </c>
    </row>
    <row r="59" spans="16384:16384" x14ac:dyDescent="0.25">
      <c r="XFD59" s="49">
        <v>3006</v>
      </c>
    </row>
    <row r="60" spans="16384:16384" x14ac:dyDescent="0.25">
      <c r="XFD60" s="49">
        <v>3007</v>
      </c>
    </row>
    <row r="61" spans="16384:16384" x14ac:dyDescent="0.25">
      <c r="XFD61" s="49">
        <v>3008</v>
      </c>
    </row>
  </sheetData>
  <pageMargins left="0.25" right="0.25" top="0.75" bottom="0.75" header="0.3" footer="0.3"/>
  <pageSetup paperSize="9" scale="10" orientation="portrait" cellComments="atEnd" errors="blank" r:id="rId1"/>
  <colBreaks count="1" manualBreakCount="1">
    <brk id="23" max="1048575" man="1"/>
  </colBreaks>
  <drawing r:id="rId2"/>
  <legacyDrawing r:id="rId3"/>
  <controls>
    <mc:AlternateContent xmlns:mc="http://schemas.openxmlformats.org/markup-compatibility/2006">
      <mc:Choice Requires="x14">
        <control shapeId="4101" r:id="rId4" name="BtPrintCancel">
          <controlPr defaultSize="0" autoLine="0" r:id="rId5">
            <anchor moveWithCells="1">
              <from>
                <xdr:col>14</xdr:col>
                <xdr:colOff>161925</xdr:colOff>
                <xdr:row>6</xdr:row>
                <xdr:rowOff>28575</xdr:rowOff>
              </from>
              <to>
                <xdr:col>16</xdr:col>
                <xdr:colOff>95250</xdr:colOff>
                <xdr:row>7</xdr:row>
                <xdr:rowOff>171450</xdr:rowOff>
              </to>
            </anchor>
          </controlPr>
        </control>
      </mc:Choice>
      <mc:Fallback>
        <control shapeId="4101" r:id="rId4" name="BtPrintCancel"/>
      </mc:Fallback>
    </mc:AlternateContent>
    <mc:AlternateContent xmlns:mc="http://schemas.openxmlformats.org/markup-compatibility/2006">
      <mc:Choice Requires="x14">
        <control shapeId="4100" r:id="rId6" name="BtPrint">
          <controlPr defaultSize="0" autoLine="0" autoPict="0" r:id="rId7">
            <anchor moveWithCells="1">
              <from>
                <xdr:col>14</xdr:col>
                <xdr:colOff>161925</xdr:colOff>
                <xdr:row>3</xdr:row>
                <xdr:rowOff>161925</xdr:rowOff>
              </from>
              <to>
                <xdr:col>16</xdr:col>
                <xdr:colOff>95250</xdr:colOff>
                <xdr:row>5</xdr:row>
                <xdr:rowOff>19050</xdr:rowOff>
              </to>
            </anchor>
          </controlPr>
        </control>
      </mc:Choice>
      <mc:Fallback>
        <control shapeId="4100" r:id="rId6" name="BtPrint"/>
      </mc:Fallback>
    </mc:AlternateContent>
  </controls>
  <tableParts count="2"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BA7F-2C5B-4183-A6E7-E348B7CBDBBC}">
  <sheetPr codeName="ShImport"/>
  <dimension ref="A1:Z35"/>
  <sheetViews>
    <sheetView showGridLines="0" tabSelected="1" workbookViewId="0">
      <selection activeCell="L12" sqref="L12"/>
    </sheetView>
  </sheetViews>
  <sheetFormatPr defaultRowHeight="15" x14ac:dyDescent="0.25"/>
  <cols>
    <col min="1" max="1" width="19.28515625" customWidth="1"/>
    <col min="4" max="4" width="11.42578125" bestFit="1" customWidth="1"/>
    <col min="12" max="12" width="27" bestFit="1" customWidth="1"/>
  </cols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2.5" x14ac:dyDescent="0.3">
      <c r="A3" s="31" t="s">
        <v>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8.75" x14ac:dyDescent="0.3">
      <c r="A5" s="33" t="s">
        <v>41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34"/>
      <c r="L7" s="34"/>
      <c r="M7" s="34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34"/>
      <c r="D8" s="34"/>
      <c r="E8" s="34"/>
      <c r="F8" s="34"/>
      <c r="G8" s="1"/>
      <c r="H8" s="1"/>
      <c r="I8" s="1"/>
      <c r="J8" s="1"/>
      <c r="K8" s="34"/>
      <c r="L8" s="34"/>
      <c r="M8" s="34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1"/>
      <c r="C9" s="34"/>
      <c r="D9" s="45" t="s">
        <v>0</v>
      </c>
      <c r="E9" s="34"/>
      <c r="F9" s="34"/>
      <c r="G9" s="1"/>
      <c r="H9" s="1"/>
      <c r="I9" s="1"/>
      <c r="J9" s="1"/>
      <c r="K9" s="34"/>
      <c r="L9" s="44" t="s">
        <v>4</v>
      </c>
      <c r="M9" s="34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5.75" thickBot="1" x14ac:dyDescent="0.3">
      <c r="A10" s="1"/>
      <c r="B10" s="1"/>
      <c r="C10" s="34"/>
      <c r="D10" s="34"/>
      <c r="E10" s="34"/>
      <c r="F10" s="34"/>
      <c r="G10" s="1"/>
      <c r="H10" s="1"/>
      <c r="I10" s="1"/>
      <c r="J10" s="1"/>
      <c r="K10" s="34"/>
      <c r="L10" s="34"/>
      <c r="M10" s="3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34"/>
      <c r="D11" s="38" t="s">
        <v>2</v>
      </c>
      <c r="E11" s="39"/>
      <c r="F11" s="34"/>
      <c r="G11" s="1"/>
      <c r="H11" s="1"/>
      <c r="I11" s="1"/>
      <c r="J11" s="1"/>
      <c r="K11" s="34"/>
      <c r="L11" s="34" t="s">
        <v>9</v>
      </c>
      <c r="M11" s="34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34"/>
      <c r="D12" s="40" t="s">
        <v>3</v>
      </c>
      <c r="E12" s="41"/>
      <c r="F12" s="34"/>
      <c r="G12" s="1"/>
      <c r="H12" s="1"/>
      <c r="I12" s="1"/>
      <c r="J12" s="1"/>
      <c r="K12" s="34"/>
      <c r="L12" s="34"/>
      <c r="M12" s="34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5.75" thickBot="1" x14ac:dyDescent="0.3">
      <c r="A13" s="1"/>
      <c r="B13" s="1"/>
      <c r="C13" s="34"/>
      <c r="D13" s="42"/>
      <c r="E13" s="43"/>
      <c r="F13" s="34"/>
      <c r="G13" s="1"/>
      <c r="H13" s="1"/>
      <c r="I13" s="1"/>
      <c r="J13" s="1"/>
      <c r="K13" s="34"/>
      <c r="L13" s="34"/>
      <c r="M13" s="34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34"/>
      <c r="D14" s="34"/>
      <c r="E14" s="34"/>
      <c r="F14" s="34"/>
      <c r="G14" s="1"/>
      <c r="H14" s="1"/>
      <c r="I14" s="1"/>
      <c r="J14" s="1"/>
      <c r="K14" s="34"/>
      <c r="L14" s="35" t="s">
        <v>5</v>
      </c>
      <c r="M14" s="34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34"/>
      <c r="D15" s="34"/>
      <c r="E15" s="34"/>
      <c r="F15" s="34"/>
      <c r="G15" s="1"/>
      <c r="H15" s="1"/>
      <c r="I15" s="1"/>
      <c r="J15" s="1"/>
      <c r="K15" s="34"/>
      <c r="L15" s="36" t="s">
        <v>6</v>
      </c>
      <c r="M15" s="34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5.75" thickBo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34"/>
      <c r="L16" s="37"/>
      <c r="M16" s="34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34"/>
      <c r="L17" s="34"/>
      <c r="M17" s="34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34"/>
      <c r="L18" s="34"/>
      <c r="M18" s="34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34"/>
      <c r="L19" s="34"/>
      <c r="M19" s="34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34"/>
      <c r="L20" s="48"/>
      <c r="M20" s="34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34"/>
      <c r="L21" s="34"/>
      <c r="M21" s="34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bID">
          <controlPr defaultSize="0" autoFill="0" autoLine="0" autoPict="0" r:id="rId5">
            <anchor moveWithCells="1">
              <from>
                <xdr:col>10</xdr:col>
                <xdr:colOff>581025</xdr:colOff>
                <xdr:row>10</xdr:row>
                <xdr:rowOff>19050</xdr:rowOff>
              </from>
              <to>
                <xdr:col>11</xdr:col>
                <xdr:colOff>1781175</xdr:colOff>
                <xdr:row>11</xdr:row>
                <xdr:rowOff>76200</xdr:rowOff>
              </to>
            </anchor>
          </controlPr>
        </control>
      </mc:Choice>
      <mc:Fallback>
        <control shapeId="2051" r:id="rId4" name="CbID"/>
      </mc:Fallback>
    </mc:AlternateContent>
    <mc:AlternateContent xmlns:mc="http://schemas.openxmlformats.org/markup-compatibility/2006">
      <mc:Choice Requires="x14">
        <control shapeId="2049" r:id="rId6" name="BtImport">
          <controlPr defaultSize="0" autoLine="0" r:id="rId7">
            <anchor moveWithCells="1">
              <from>
                <xdr:col>3</xdr:col>
                <xdr:colOff>28575</xdr:colOff>
                <xdr:row>10</xdr:row>
                <xdr:rowOff>28575</xdr:rowOff>
              </from>
              <to>
                <xdr:col>4</xdr:col>
                <xdr:colOff>581025</xdr:colOff>
                <xdr:row>12</xdr:row>
                <xdr:rowOff>180975</xdr:rowOff>
              </to>
            </anchor>
          </controlPr>
        </control>
      </mc:Choice>
      <mc:Fallback>
        <control shapeId="2049" r:id="rId6" name="BtImport"/>
      </mc:Fallback>
    </mc:AlternateContent>
    <mc:AlternateContent xmlns:mc="http://schemas.openxmlformats.org/markup-compatibility/2006">
      <mc:Choice Requires="x14">
        <control shapeId="2052" r:id="rId8" name="BtPreview">
          <controlPr defaultSize="0" disabled="1" autoLine="0" r:id="rId9">
            <anchor moveWithCells="1">
              <from>
                <xdr:col>11</xdr:col>
                <xdr:colOff>0</xdr:colOff>
                <xdr:row>16</xdr:row>
                <xdr:rowOff>180975</xdr:rowOff>
              </from>
              <to>
                <xdr:col>11</xdr:col>
                <xdr:colOff>1323975</xdr:colOff>
                <xdr:row>18</xdr:row>
                <xdr:rowOff>76200</xdr:rowOff>
              </to>
            </anchor>
          </controlPr>
        </control>
      </mc:Choice>
      <mc:Fallback>
        <control shapeId="2052" r:id="rId8" name="BtPreview"/>
      </mc:Fallback>
    </mc:AlternateContent>
    <mc:AlternateContent xmlns:mc="http://schemas.openxmlformats.org/markup-compatibility/2006">
      <mc:Choice Requires="x14">
        <control shapeId="2054" r:id="rId10" name="BtDwnldPDF">
          <controlPr defaultSize="0" autoLine="0" r:id="rId11">
            <anchor moveWithCells="1">
              <from>
                <xdr:col>11</xdr:col>
                <xdr:colOff>38100</xdr:colOff>
                <xdr:row>13</xdr:row>
                <xdr:rowOff>47625</xdr:rowOff>
              </from>
              <to>
                <xdr:col>11</xdr:col>
                <xdr:colOff>1771650</xdr:colOff>
                <xdr:row>15</xdr:row>
                <xdr:rowOff>161925</xdr:rowOff>
              </to>
            </anchor>
          </controlPr>
        </control>
      </mc:Choice>
      <mc:Fallback>
        <control shapeId="2054" r:id="rId10" name="BtDwnldPDF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A80C68F-0F9B-417E-AD03-6E223BF510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PDF Preview</vt:lpstr>
      <vt:lpstr>Import or Fetch Report</vt:lpstr>
      <vt:lpstr>'PDF Preview'!ExternalData_3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cp:lastPrinted>2024-10-20T14:48:50Z</cp:lastPrinted>
  <dcterms:created xsi:type="dcterms:W3CDTF">2024-07-02T16:25:05Z</dcterms:created>
  <dcterms:modified xsi:type="dcterms:W3CDTF">2024-10-20T14:58:42Z</dcterms:modified>
</cp:coreProperties>
</file>